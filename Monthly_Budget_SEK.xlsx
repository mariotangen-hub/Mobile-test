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versikt" sheetId="1" state="visible" r:id="rId1"/>
    <sheet name="Inställningar" sheetId="2" state="visible" r:id="rId2"/>
    <sheet name="Inkomst" sheetId="3" state="visible" r:id="rId3"/>
    <sheet name="Utgifter" sheetId="4" state="visible" r:id="rId4"/>
    <sheet name="Sparmål" sheetId="5" state="visible" r:id="rId5"/>
    <sheet name="Konton" sheetId="6" state="visible" r:id="rId6"/>
  </sheets>
  <definedNames>
    <definedName name="Kategorier">Inställningar!$A$2:$A$11</definedName>
    <definedName name="TotalInkomst">Översikt!$B$5</definedName>
    <definedName name="TotalUtgift">Översikt!$B$6</definedName>
    <definedName name="Netto">Översikt!$B$7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kr&quot;;[Red]-#,##0&quot; kr&quot;;0&quot; kr&quot;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8"/>
      <sz val="18"/>
    </font>
    <font>
      <name val="Calibri"/>
      <b val="1"/>
      <color rgb="00404040"/>
      <sz val="11"/>
    </font>
    <font>
      <name val="Calibri"/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ont>
        <b val="1"/>
        <color rgb="009C0006"/>
      </font>
      <fill>
        <patternFill patternType="solid">
          <fgColor rgb="00F4B084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Utgiftsfördelning (Faktiskt)</a:t>
            </a:r>
          </a:p>
        </rich>
      </tx>
    </title>
    <plotArea>
      <pieChart>
        <varyColors val="1"/>
        <ser>
          <idx val="0"/>
          <order val="0"/>
          <tx>
            <strRef>
              <f>'Utgifter'!K1</f>
            </strRef>
          </tx>
          <spPr>
            <a:ln>
              <a:prstDash val="solid"/>
            </a:ln>
          </spPr>
          <cat>
            <numRef>
              <f>'Utgifter'!$I$2:$I$11</f>
            </numRef>
          </cat>
          <val>
            <numRef>
              <f>'Utgifter'!$K$2:$K$11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Budget vs Faktiskt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'Utgifter'!J1</f>
            </strRef>
          </tx>
          <spPr>
            <a:ln>
              <a:prstDash val="solid"/>
            </a:ln>
          </spPr>
          <cat>
            <numRef>
              <f>'Utgifter'!$I$2:$I$11</f>
            </numRef>
          </cat>
          <val>
            <numRef>
              <f>'Utgifter'!$J$2:$J$11</f>
            </numRef>
          </val>
        </ser>
        <ser>
          <idx val="1"/>
          <order val="1"/>
          <tx>
            <strRef>
              <f>'Utgifter'!K1</f>
            </strRef>
          </tx>
          <spPr>
            <a:ln>
              <a:prstDash val="solid"/>
            </a:ln>
          </spPr>
          <cat>
            <numRef>
              <f>'Utgifter'!$I$2:$I$11</f>
            </numRef>
          </cat>
          <val>
            <numRef>
              <f>'Utgifter'!$K$2:$K$11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zoomScale="11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2" customWidth="1" min="7" max="7"/>
    <col width="12" customWidth="1" min="8" max="8"/>
  </cols>
  <sheetData>
    <row r="1" ht="32" customHeight="1">
      <c r="A1" s="1" t="inlineStr">
        <is>
          <t>Månadsbudget – SEK</t>
        </is>
      </c>
    </row>
    <row r="3">
      <c r="A3" s="2" t="inlineStr">
        <is>
          <t>Period</t>
        </is>
      </c>
      <c r="B3" s="3">
        <f>TEXT(TODAY(),"yyyy-mm")</f>
        <v/>
      </c>
    </row>
    <row r="5">
      <c r="A5" s="4" t="inlineStr">
        <is>
          <t>Total inkomst</t>
        </is>
      </c>
      <c r="B5" s="5">
        <f>Inkomst!C4</f>
        <v/>
      </c>
    </row>
    <row r="6">
      <c r="A6" s="4" t="inlineStr">
        <is>
          <t>Total utgift (budget)</t>
        </is>
      </c>
      <c r="B6" s="5">
        <f>SUM(Utgifter!D2:D61)</f>
        <v/>
      </c>
    </row>
    <row r="7">
      <c r="A7" s="4" t="inlineStr">
        <is>
          <t>Netto enligt budget</t>
        </is>
      </c>
      <c r="B7" s="5">
        <f>B5-B6</f>
        <v/>
      </c>
    </row>
    <row r="8">
      <c r="A8" s="4" t="inlineStr">
        <is>
          <t>Sparkvot</t>
        </is>
      </c>
      <c r="B8" s="6">
        <f>IFERROR(B7/B5,0)</f>
        <v/>
      </c>
    </row>
    <row r="9">
      <c r="A9" s="4" t="inlineStr">
        <is>
          <t>Faktiskt utgift hittills</t>
        </is>
      </c>
      <c r="B9" s="5">
        <f>SUM(Utgifter!E2:E61)</f>
        <v/>
      </c>
    </row>
    <row r="10">
      <c r="A10" s="4" t="inlineStr">
        <is>
          <t>Saldo på konton</t>
        </is>
      </c>
      <c r="B10" s="5">
        <f>Konton!B4</f>
        <v/>
      </c>
    </row>
    <row r="12">
      <c r="A12" s="7" t="inlineStr">
        <is>
          <t>Sparmål – framsteg</t>
        </is>
      </c>
    </row>
    <row r="13">
      <c r="A13" s="8" t="inlineStr">
        <is>
          <t>Mål</t>
        </is>
      </c>
      <c r="B13" s="8" t="inlineStr">
        <is>
          <t>Sparat</t>
        </is>
      </c>
      <c r="C13" s="8" t="inlineStr">
        <is>
          <t>Mål</t>
        </is>
      </c>
      <c r="D13" s="8" t="inlineStr">
        <is>
          <t>Framsteg %</t>
        </is>
      </c>
      <c r="E13" s="8" t="inlineStr">
        <is>
          <t>Månader kvar</t>
        </is>
      </c>
      <c r="F13" s="8" t="inlineStr">
        <is>
          <t>Måldatum</t>
        </is>
      </c>
    </row>
    <row r="14">
      <c r="A14" s="9">
        <f>Sparmål!A2</f>
        <v/>
      </c>
      <c r="B14" s="10">
        <f>Sparmål!C2</f>
        <v/>
      </c>
      <c r="C14" s="10">
        <f>Sparmål!B2</f>
        <v/>
      </c>
      <c r="D14" s="11">
        <f>Sparmål!H2</f>
        <v/>
      </c>
      <c r="E14" s="12">
        <f>Sparmål!F2</f>
        <v/>
      </c>
      <c r="F14" s="13">
        <f>Sparmål!G2</f>
        <v/>
      </c>
    </row>
    <row r="15">
      <c r="A15" s="9">
        <f>Sparmål!A3</f>
        <v/>
      </c>
      <c r="B15" s="10">
        <f>Sparmål!C3</f>
        <v/>
      </c>
      <c r="C15" s="10">
        <f>Sparmål!B3</f>
        <v/>
      </c>
      <c r="D15" s="11">
        <f>Sparmål!H3</f>
        <v/>
      </c>
      <c r="E15" s="12">
        <f>Sparmål!F3</f>
        <v/>
      </c>
      <c r="F15" s="13">
        <f>Sparmål!G3</f>
        <v/>
      </c>
    </row>
    <row r="16">
      <c r="A16" s="9">
        <f>Sparmål!A4</f>
        <v/>
      </c>
      <c r="B16" s="10">
        <f>Sparmål!C4</f>
        <v/>
      </c>
      <c r="C16" s="10">
        <f>Sparmål!B4</f>
        <v/>
      </c>
      <c r="D16" s="11">
        <f>Sparmål!H4</f>
        <v/>
      </c>
      <c r="E16" s="12">
        <f>Sparmål!F4</f>
        <v/>
      </c>
      <c r="F16" s="13">
        <f>Sparmål!G4</f>
        <v/>
      </c>
    </row>
    <row r="17">
      <c r="A17" s="9">
        <f>Sparmål!A5</f>
        <v/>
      </c>
      <c r="B17" s="10">
        <f>Sparmål!C5</f>
        <v/>
      </c>
      <c r="C17" s="10">
        <f>Sparmål!B5</f>
        <v/>
      </c>
      <c r="D17" s="11">
        <f>Sparmål!H5</f>
        <v/>
      </c>
      <c r="E17" s="12">
        <f>Sparmål!F5</f>
        <v/>
      </c>
      <c r="F17" s="13">
        <f>Sparmål!G5</f>
        <v/>
      </c>
    </row>
    <row r="18">
      <c r="A18" s="9">
        <f>Sparmål!A6</f>
        <v/>
      </c>
      <c r="B18" s="10">
        <f>Sparmål!C6</f>
        <v/>
      </c>
      <c r="C18" s="10">
        <f>Sparmål!B6</f>
        <v/>
      </c>
      <c r="D18" s="11">
        <f>Sparmål!H6</f>
        <v/>
      </c>
      <c r="E18" s="12">
        <f>Sparmål!F6</f>
        <v/>
      </c>
      <c r="F18" s="13">
        <f>Sparmål!G6</f>
        <v/>
      </c>
    </row>
    <row r="19">
      <c r="A19" s="9">
        <f>Sparmål!A7</f>
        <v/>
      </c>
      <c r="B19" s="10">
        <f>Sparmål!C7</f>
        <v/>
      </c>
      <c r="C19" s="10">
        <f>Sparmål!B7</f>
        <v/>
      </c>
      <c r="D19" s="11">
        <f>Sparmål!H7</f>
        <v/>
      </c>
      <c r="E19" s="12">
        <f>Sparmål!F7</f>
        <v/>
      </c>
      <c r="F19" s="13">
        <f>Sparmål!G7</f>
        <v/>
      </c>
    </row>
    <row r="20">
      <c r="A20" s="9">
        <f>Sparmål!A8</f>
        <v/>
      </c>
      <c r="B20" s="10">
        <f>Sparmål!C8</f>
        <v/>
      </c>
      <c r="C20" s="10">
        <f>Sparmål!B8</f>
        <v/>
      </c>
      <c r="D20" s="11">
        <f>Sparmål!H8</f>
        <v/>
      </c>
      <c r="E20" s="12">
        <f>Sparmål!F8</f>
        <v/>
      </c>
      <c r="F20" s="13">
        <f>Sparmål!G8</f>
        <v/>
      </c>
    </row>
    <row r="21">
      <c r="A21" s="9">
        <f>Sparmål!A9</f>
        <v/>
      </c>
      <c r="B21" s="10">
        <f>Sparmål!C9</f>
        <v/>
      </c>
      <c r="C21" s="10">
        <f>Sparmål!B9</f>
        <v/>
      </c>
      <c r="D21" s="11">
        <f>Sparmål!H9</f>
        <v/>
      </c>
      <c r="E21" s="12">
        <f>Sparmål!F9</f>
        <v/>
      </c>
      <c r="F21" s="13">
        <f>Sparmål!G9</f>
        <v/>
      </c>
    </row>
  </sheetData>
  <mergeCells count="2">
    <mergeCell ref="A1:F1"/>
    <mergeCell ref="A12:F12"/>
  </mergeCells>
  <conditionalFormatting sqref="D14:D21">
    <cfRule type="dataBar" priority="1">
      <dataBar showValue="1">
        <cfvo type="num" val="0"/>
        <cfvo type="num" val="1"/>
        <color rgb="0063BE7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3" max="3"/>
  </cols>
  <sheetData>
    <row r="1">
      <c r="A1" s="14" t="inlineStr">
        <is>
          <t>Kategorier</t>
        </is>
      </c>
      <c r="C1" s="7" t="inlineStr">
        <is>
          <t>Tips</t>
        </is>
      </c>
    </row>
    <row r="2">
      <c r="A2" s="15" t="inlineStr">
        <is>
          <t>Boende</t>
        </is>
      </c>
      <c r="C2" t="inlineStr">
        <is>
          <t>Ändra eller lägg till kategorier ovan.</t>
        </is>
      </c>
    </row>
    <row r="3">
      <c r="A3" s="15" t="inlineStr">
        <is>
          <t>Mat</t>
        </is>
      </c>
      <c r="C3" t="inlineStr">
        <is>
          <t>Dropdown-menyn på fliken Utgifter uppdateras automatiskt</t>
        </is>
      </c>
    </row>
    <row r="4">
      <c r="A4" s="15" t="inlineStr">
        <is>
          <t>Transport</t>
        </is>
      </c>
      <c r="C4" t="inlineStr">
        <is>
          <t>om du utvidgar listan inom A2:A50.</t>
        </is>
      </c>
    </row>
    <row r="5">
      <c r="A5" s="15" t="inlineStr">
        <is>
          <t>Nöje</t>
        </is>
      </c>
    </row>
    <row r="6">
      <c r="A6" s="15" t="inlineStr">
        <is>
          <t>Räkningar</t>
        </is>
      </c>
    </row>
    <row r="7">
      <c r="A7" s="15" t="inlineStr">
        <is>
          <t>Försäkring</t>
        </is>
      </c>
    </row>
    <row r="8">
      <c r="A8" s="15" t="inlineStr">
        <is>
          <t>Prenumerationer</t>
        </is>
      </c>
    </row>
    <row r="9">
      <c r="A9" s="15" t="inlineStr">
        <is>
          <t>Hälsa</t>
        </is>
      </c>
    </row>
    <row r="10">
      <c r="A10" s="15" t="inlineStr">
        <is>
          <t>Kläder</t>
        </is>
      </c>
    </row>
    <row r="11">
      <c r="A11" s="15" t="inlineStr">
        <is>
          <t>Övrigt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</cols>
  <sheetData>
    <row r="1" ht="22" customHeight="1">
      <c r="A1" s="16" t="inlineStr">
        <is>
          <t>Källa</t>
        </is>
      </c>
      <c r="B1" s="16" t="inlineStr">
        <is>
          <t>Budget (kr)</t>
        </is>
      </c>
      <c r="C1" s="16" t="inlineStr">
        <is>
          <t>Faktiskt (kr)</t>
        </is>
      </c>
      <c r="D1" s="16" t="inlineStr">
        <is>
          <t>Differens (kr)</t>
        </is>
      </c>
    </row>
    <row r="2">
      <c r="A2" s="9" t="inlineStr">
        <is>
          <t>Lön efter skatt</t>
        </is>
      </c>
      <c r="B2" s="10" t="n">
        <v>27840</v>
      </c>
      <c r="C2" s="10" t="n">
        <v>27840</v>
      </c>
      <c r="D2" s="10">
        <f>C2-B2</f>
        <v/>
      </c>
    </row>
    <row r="3">
      <c r="A3" s="9" t="inlineStr">
        <is>
          <t>Övrig inkomst</t>
        </is>
      </c>
      <c r="B3" s="10" t="n">
        <v>0</v>
      </c>
      <c r="C3" s="10" t="n">
        <v>0</v>
      </c>
      <c r="D3" s="10">
        <f>C3-B3</f>
        <v/>
      </c>
    </row>
    <row r="4">
      <c r="A4" s="17" t="inlineStr">
        <is>
          <t>TOTALT</t>
        </is>
      </c>
      <c r="B4" s="18">
        <f>SUM(B2:B3)</f>
        <v/>
      </c>
      <c r="C4" s="18">
        <f>SUM(C2:C3)</f>
        <v/>
      </c>
      <c r="D4" s="18">
        <f>SUM(D2:D3)</f>
        <v/>
      </c>
    </row>
  </sheetData>
  <conditionalFormatting sqref="D2:D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4" customWidth="1" min="5" max="5"/>
    <col width="16" customWidth="1" min="6" max="6"/>
    <col width="10" customWidth="1" min="7" max="7"/>
    <col width="2" customWidth="1" min="8" max="8"/>
    <col width="18" customWidth="1" min="9" max="9"/>
    <col width="14" customWidth="1" min="10" max="10"/>
    <col width="14" customWidth="1" min="11" max="11"/>
  </cols>
  <sheetData>
    <row r="1" ht="22" customHeight="1">
      <c r="A1" s="16" t="inlineStr">
        <is>
          <t>Datum</t>
        </is>
      </c>
      <c r="B1" s="16" t="inlineStr">
        <is>
          <t>Kategori</t>
        </is>
      </c>
      <c r="C1" s="16" t="inlineStr">
        <is>
          <t>Beskrivning</t>
        </is>
      </c>
      <c r="D1" s="16" t="inlineStr">
        <is>
          <t>Budget (kr)</t>
        </is>
      </c>
      <c r="E1" s="16" t="inlineStr">
        <is>
          <t>Faktiskt (kr)</t>
        </is>
      </c>
      <c r="F1" s="16" t="inlineStr">
        <is>
          <t>Differens (kr)</t>
        </is>
      </c>
      <c r="G1" s="16" t="inlineStr">
        <is>
          <t>Status</t>
        </is>
      </c>
      <c r="I1" s="19" t="inlineStr">
        <is>
          <t>Kategori</t>
        </is>
      </c>
      <c r="J1" s="19" t="inlineStr">
        <is>
          <t>Budget</t>
        </is>
      </c>
      <c r="K1" s="19" t="inlineStr">
        <is>
          <t>Faktiskt</t>
        </is>
      </c>
    </row>
    <row r="2">
      <c r="A2" s="13" t="n"/>
      <c r="B2" s="20" t="inlineStr">
        <is>
          <t>Boende</t>
        </is>
      </c>
      <c r="C2" s="20" t="inlineStr">
        <is>
          <t>Hyra</t>
        </is>
      </c>
      <c r="D2" s="10" t="n">
        <v>3914</v>
      </c>
      <c r="E2" s="10" t="n">
        <v>0</v>
      </c>
      <c r="F2" s="10">
        <f>IF(AND(D2=0,E2=0),"",D2-E2)</f>
        <v/>
      </c>
      <c r="G2" s="12">
        <f>IF(AND(D2=0,E2=0),"",IF(E2&gt;D2,"Över","OK"))</f>
        <v/>
      </c>
      <c r="I2" s="9" t="inlineStr">
        <is>
          <t>Boende</t>
        </is>
      </c>
      <c r="J2" s="10">
        <f>SUMIF(B2:B61,I2,D2:D61)</f>
        <v/>
      </c>
      <c r="K2" s="10">
        <f>SUMIF(B2:B61,I2,E2:E61)</f>
        <v/>
      </c>
    </row>
    <row r="3">
      <c r="A3" s="13" t="n"/>
      <c r="B3" s="20" t="inlineStr">
        <is>
          <t>Räkningar</t>
        </is>
      </c>
      <c r="C3" s="20" t="inlineStr">
        <is>
          <t>El (fyll i)</t>
        </is>
      </c>
      <c r="D3" s="10" t="n">
        <v>0</v>
      </c>
      <c r="E3" s="10" t="n">
        <v>0</v>
      </c>
      <c r="F3" s="10">
        <f>IF(AND(D3=0,E3=0),"",D3-E3)</f>
        <v/>
      </c>
      <c r="G3" s="12">
        <f>IF(AND(D3=0,E3=0),"",IF(E3&gt;D3,"Över","OK"))</f>
        <v/>
      </c>
      <c r="I3" s="9" t="inlineStr">
        <is>
          <t>Mat</t>
        </is>
      </c>
      <c r="J3" s="10">
        <f>SUMIF(B2:B61,I3,D2:D61)</f>
        <v/>
      </c>
      <c r="K3" s="10">
        <f>SUMIF(B2:B61,I3,E2:E61)</f>
        <v/>
      </c>
    </row>
    <row r="4">
      <c r="A4" s="13" t="n"/>
      <c r="B4" s="20" t="inlineStr">
        <is>
          <t>Räkningar</t>
        </is>
      </c>
      <c r="C4" s="20" t="inlineStr">
        <is>
          <t>Bredband / internet (fyll i)</t>
        </is>
      </c>
      <c r="D4" s="10" t="n">
        <v>0</v>
      </c>
      <c r="E4" s="10" t="n">
        <v>0</v>
      </c>
      <c r="F4" s="10">
        <f>IF(AND(D4=0,E4=0),"",D4-E4)</f>
        <v/>
      </c>
      <c r="G4" s="12">
        <f>IF(AND(D4=0,E4=0),"",IF(E4&gt;D4,"Över","OK"))</f>
        <v/>
      </c>
      <c r="I4" s="9" t="inlineStr">
        <is>
          <t>Transport</t>
        </is>
      </c>
      <c r="J4" s="10">
        <f>SUMIF(B2:B61,I4,D2:D61)</f>
        <v/>
      </c>
      <c r="K4" s="10">
        <f>SUMIF(B2:B61,I4,E2:E61)</f>
        <v/>
      </c>
    </row>
    <row r="5">
      <c r="A5" s="13" t="n"/>
      <c r="B5" s="20" t="inlineStr">
        <is>
          <t>Räkningar</t>
        </is>
      </c>
      <c r="C5" s="20" t="inlineStr">
        <is>
          <t>Mobiltelefon (fyll i)</t>
        </is>
      </c>
      <c r="D5" s="10" t="n">
        <v>0</v>
      </c>
      <c r="E5" s="10" t="n">
        <v>0</v>
      </c>
      <c r="F5" s="10">
        <f>IF(AND(D5=0,E5=0),"",D5-E5)</f>
        <v/>
      </c>
      <c r="G5" s="12">
        <f>IF(AND(D5=0,E5=0),"",IF(E5&gt;D5,"Över","OK"))</f>
        <v/>
      </c>
      <c r="I5" s="9" t="inlineStr">
        <is>
          <t>Nöje</t>
        </is>
      </c>
      <c r="J5" s="10">
        <f>SUMIF(B2:B61,I5,D2:D61)</f>
        <v/>
      </c>
      <c r="K5" s="10">
        <f>SUMIF(B2:B61,I5,E2:E61)</f>
        <v/>
      </c>
    </row>
    <row r="6">
      <c r="A6" s="13" t="n"/>
      <c r="B6" s="20" t="inlineStr">
        <is>
          <t>Försäkring</t>
        </is>
      </c>
      <c r="C6" s="20" t="inlineStr">
        <is>
          <t>Hemförsäkring (fyll i)</t>
        </is>
      </c>
      <c r="D6" s="10" t="n">
        <v>0</v>
      </c>
      <c r="E6" s="10" t="n">
        <v>0</v>
      </c>
      <c r="F6" s="10">
        <f>IF(AND(D6=0,E6=0),"",D6-E6)</f>
        <v/>
      </c>
      <c r="G6" s="12">
        <f>IF(AND(D6=0,E6=0),"",IF(E6&gt;D6,"Över","OK"))</f>
        <v/>
      </c>
      <c r="I6" s="9" t="inlineStr">
        <is>
          <t>Räkningar</t>
        </is>
      </c>
      <c r="J6" s="10">
        <f>SUMIF(B2:B61,I6,D2:D61)</f>
        <v/>
      </c>
      <c r="K6" s="10">
        <f>SUMIF(B2:B61,I6,E2:E61)</f>
        <v/>
      </c>
    </row>
    <row r="7">
      <c r="A7" s="13" t="n"/>
      <c r="B7" s="20" t="inlineStr">
        <is>
          <t>Mat</t>
        </is>
      </c>
      <c r="C7" s="20" t="inlineStr">
        <is>
          <t>Matbudget</t>
        </is>
      </c>
      <c r="D7" s="10" t="n">
        <v>6200</v>
      </c>
      <c r="E7" s="10" t="n">
        <v>0</v>
      </c>
      <c r="F7" s="10">
        <f>IF(AND(D7=0,E7=0),"",D7-E7)</f>
        <v/>
      </c>
      <c r="G7" s="12">
        <f>IF(AND(D7=0,E7=0),"",IF(E7&gt;D7,"Över","OK"))</f>
        <v/>
      </c>
      <c r="I7" s="9" t="inlineStr">
        <is>
          <t>Försäkring</t>
        </is>
      </c>
      <c r="J7" s="10">
        <f>SUMIF(B2:B61,I7,D2:D61)</f>
        <v/>
      </c>
      <c r="K7" s="10">
        <f>SUMIF(B2:B61,I7,E2:E61)</f>
        <v/>
      </c>
    </row>
    <row r="8">
      <c r="A8" s="13" t="n"/>
      <c r="B8" s="20" t="inlineStr">
        <is>
          <t>Transport</t>
        </is>
      </c>
      <c r="C8" s="20" t="inlineStr">
        <is>
          <t>Diesel</t>
        </is>
      </c>
      <c r="D8" s="10" t="n">
        <v>2750</v>
      </c>
      <c r="E8" s="10" t="n">
        <v>0</v>
      </c>
      <c r="F8" s="10">
        <f>IF(AND(D8=0,E8=0),"",D8-E8)</f>
        <v/>
      </c>
      <c r="G8" s="12">
        <f>IF(AND(D8=0,E8=0),"",IF(E8&gt;D8,"Över","OK"))</f>
        <v/>
      </c>
      <c r="I8" s="9" t="inlineStr">
        <is>
          <t>Prenumerationer</t>
        </is>
      </c>
      <c r="J8" s="10">
        <f>SUMIF(B2:B61,I8,D2:D61)</f>
        <v/>
      </c>
      <c r="K8" s="10">
        <f>SUMIF(B2:B61,I8,E2:E61)</f>
        <v/>
      </c>
    </row>
    <row r="9">
      <c r="A9" s="13" t="n"/>
      <c r="B9" s="20" t="inlineStr">
        <is>
          <t>Transport</t>
        </is>
      </c>
      <c r="C9" s="20" t="inlineStr">
        <is>
          <t>Underhåll bil/mc</t>
        </is>
      </c>
      <c r="D9" s="10" t="n">
        <v>1000</v>
      </c>
      <c r="E9" s="10" t="n">
        <v>0</v>
      </c>
      <c r="F9" s="10">
        <f>IF(AND(D9=0,E9=0),"",D9-E9)</f>
        <v/>
      </c>
      <c r="G9" s="12">
        <f>IF(AND(D9=0,E9=0),"",IF(E9&gt;D9,"Över","OK"))</f>
        <v/>
      </c>
      <c r="I9" s="9" t="inlineStr">
        <is>
          <t>Hälsa</t>
        </is>
      </c>
      <c r="J9" s="10">
        <f>SUMIF(B2:B61,I9,D2:D61)</f>
        <v/>
      </c>
      <c r="K9" s="10">
        <f>SUMIF(B2:B61,I9,E2:E61)</f>
        <v/>
      </c>
    </row>
    <row r="10">
      <c r="A10" s="13" t="n"/>
      <c r="B10" s="20" t="inlineStr">
        <is>
          <t>Transport</t>
        </is>
      </c>
      <c r="C10" s="20" t="inlineStr">
        <is>
          <t>Bilskatt (5639 kr/år ÷ 12)</t>
        </is>
      </c>
      <c r="D10" s="10" t="n">
        <v>470</v>
      </c>
      <c r="E10" s="10" t="n">
        <v>0</v>
      </c>
      <c r="F10" s="10">
        <f>IF(AND(D10=0,E10=0),"",D10-E10)</f>
        <v/>
      </c>
      <c r="G10" s="12">
        <f>IF(AND(D10=0,E10=0),"",IF(E10&gt;D10,"Över","OK"))</f>
        <v/>
      </c>
      <c r="I10" s="9" t="inlineStr">
        <is>
          <t>Kläder</t>
        </is>
      </c>
      <c r="J10" s="10">
        <f>SUMIF(B2:B61,I10,D2:D61)</f>
        <v/>
      </c>
      <c r="K10" s="10">
        <f>SUMIF(B2:B61,I10,E2:E61)</f>
        <v/>
      </c>
    </row>
    <row r="11">
      <c r="A11" s="13" t="n"/>
      <c r="B11" s="20" t="inlineStr">
        <is>
          <t>Försäkring</t>
        </is>
      </c>
      <c r="C11" s="20" t="inlineStr">
        <is>
          <t>Bilförsäkring</t>
        </is>
      </c>
      <c r="D11" s="10" t="n">
        <v>416</v>
      </c>
      <c r="E11" s="10" t="n">
        <v>0</v>
      </c>
      <c r="F11" s="10">
        <f>IF(AND(D11=0,E11=0),"",D11-E11)</f>
        <v/>
      </c>
      <c r="G11" s="12">
        <f>IF(AND(D11=0,E11=0),"",IF(E11&gt;D11,"Över","OK"))</f>
        <v/>
      </c>
      <c r="I11" s="9" t="inlineStr">
        <is>
          <t>Övrigt</t>
        </is>
      </c>
      <c r="J11" s="10">
        <f>SUMIF(B2:B61,I11,D2:D61)</f>
        <v/>
      </c>
      <c r="K11" s="10">
        <f>SUMIF(B2:B61,I11,E2:E61)</f>
        <v/>
      </c>
    </row>
    <row r="12">
      <c r="A12" s="13" t="n"/>
      <c r="B12" s="20" t="inlineStr">
        <is>
          <t>Försäkring</t>
        </is>
      </c>
      <c r="C12" s="20" t="inlineStr">
        <is>
          <t>A-kassa</t>
        </is>
      </c>
      <c r="D12" s="10" t="n">
        <v>160</v>
      </c>
      <c r="E12" s="10" t="n">
        <v>0</v>
      </c>
      <c r="F12" s="10">
        <f>IF(AND(D12=0,E12=0),"",D12-E12)</f>
        <v/>
      </c>
      <c r="G12" s="12">
        <f>IF(AND(D12=0,E12=0),"",IF(E12&gt;D12,"Över","OK"))</f>
        <v/>
      </c>
    </row>
    <row r="13">
      <c r="A13" s="13" t="n"/>
      <c r="B13" s="20" t="inlineStr">
        <is>
          <t>Prenumerationer</t>
        </is>
      </c>
      <c r="C13" s="20" t="inlineStr">
        <is>
          <t>Spotify</t>
        </is>
      </c>
      <c r="D13" s="10" t="n">
        <v>129</v>
      </c>
      <c r="E13" s="10" t="n">
        <v>0</v>
      </c>
      <c r="F13" s="10">
        <f>IF(AND(D13=0,E13=0),"",D13-E13)</f>
        <v/>
      </c>
      <c r="G13" s="12">
        <f>IF(AND(D13=0,E13=0),"",IF(E13&gt;D13,"Över","OK"))</f>
        <v/>
      </c>
    </row>
    <row r="14">
      <c r="A14" s="13" t="n"/>
      <c r="B14" s="20" t="inlineStr">
        <is>
          <t>Prenumerationer</t>
        </is>
      </c>
      <c r="C14" s="20" t="inlineStr">
        <is>
          <t>Apple</t>
        </is>
      </c>
      <c r="D14" s="10" t="n">
        <v>39</v>
      </c>
      <c r="E14" s="10" t="n">
        <v>0</v>
      </c>
      <c r="F14" s="10">
        <f>IF(AND(D14=0,E14=0),"",D14-E14)</f>
        <v/>
      </c>
      <c r="G14" s="12">
        <f>IF(AND(D14=0,E14=0),"",IF(E14&gt;D14,"Över","OK"))</f>
        <v/>
      </c>
    </row>
    <row r="15">
      <c r="A15" s="13" t="n"/>
      <c r="B15" s="20" t="inlineStr">
        <is>
          <t>Prenumerationer</t>
        </is>
      </c>
      <c r="C15" s="20" t="inlineStr">
        <is>
          <t>Google</t>
        </is>
      </c>
      <c r="D15" s="10" t="n">
        <v>40</v>
      </c>
      <c r="E15" s="10" t="n">
        <v>0</v>
      </c>
      <c r="F15" s="10">
        <f>IF(AND(D15=0,E15=0),"",D15-E15)</f>
        <v/>
      </c>
      <c r="G15" s="12">
        <f>IF(AND(D15=0,E15=0),"",IF(E15&gt;D15,"Över","OK"))</f>
        <v/>
      </c>
    </row>
    <row r="16">
      <c r="A16" s="13" t="n"/>
      <c r="B16" s="20" t="inlineStr">
        <is>
          <t>Prenumerationer</t>
        </is>
      </c>
      <c r="C16" s="20" t="inlineStr">
        <is>
          <t>Soundcloud</t>
        </is>
      </c>
      <c r="D16" s="10" t="n">
        <v>75</v>
      </c>
      <c r="E16" s="10" t="n">
        <v>0</v>
      </c>
      <c r="F16" s="10">
        <f>IF(AND(D16=0,E16=0),"",D16-E16)</f>
        <v/>
      </c>
      <c r="G16" s="12">
        <f>IF(AND(D16=0,E16=0),"",IF(E16&gt;D16,"Över","OK"))</f>
        <v/>
      </c>
    </row>
    <row r="17">
      <c r="A17" s="13" t="n"/>
      <c r="B17" s="20" t="inlineStr">
        <is>
          <t>Prenumerationer</t>
        </is>
      </c>
      <c r="C17" s="20" t="inlineStr">
        <is>
          <t>Claude Max</t>
        </is>
      </c>
      <c r="D17" s="10" t="n">
        <v>1300</v>
      </c>
      <c r="E17" s="10" t="n">
        <v>0</v>
      </c>
      <c r="F17" s="10">
        <f>IF(AND(D17=0,E17=0),"",D17-E17)</f>
        <v/>
      </c>
      <c r="G17" s="12">
        <f>IF(AND(D17=0,E17=0),"",IF(E17&gt;D17,"Över","OK"))</f>
        <v/>
      </c>
    </row>
    <row r="18">
      <c r="A18" s="13" t="n"/>
      <c r="B18" s="20" t="inlineStr">
        <is>
          <t>Prenumerationer</t>
        </is>
      </c>
      <c r="C18" s="20" t="inlineStr">
        <is>
          <t>Systeme.io</t>
        </is>
      </c>
      <c r="D18" s="10" t="n">
        <v>160</v>
      </c>
      <c r="E18" s="10" t="n">
        <v>0</v>
      </c>
      <c r="F18" s="10">
        <f>IF(AND(D18=0,E18=0),"",D18-E18)</f>
        <v/>
      </c>
      <c r="G18" s="12">
        <f>IF(AND(D18=0,E18=0),"",IF(E18&gt;D18,"Över","OK"))</f>
        <v/>
      </c>
    </row>
    <row r="19">
      <c r="A19" s="13" t="n"/>
      <c r="B19" s="20" t="inlineStr">
        <is>
          <t>Hälsa</t>
        </is>
      </c>
      <c r="C19" s="20" t="inlineStr">
        <is>
          <t>Linser</t>
        </is>
      </c>
      <c r="D19" s="10" t="n">
        <v>500</v>
      </c>
      <c r="E19" s="10" t="n">
        <v>0</v>
      </c>
      <c r="F19" s="10">
        <f>IF(AND(D19=0,E19=0),"",D19-E19)</f>
        <v/>
      </c>
      <c r="G19" s="12">
        <f>IF(AND(D19=0,E19=0),"",IF(E19&gt;D19,"Över","OK"))</f>
        <v/>
      </c>
    </row>
    <row r="20">
      <c r="A20" s="13" t="n"/>
      <c r="B20" s="20" t="inlineStr">
        <is>
          <t>Kläder</t>
        </is>
      </c>
      <c r="C20" s="20" t="inlineStr">
        <is>
          <t>Kläder och övriga utgifter</t>
        </is>
      </c>
      <c r="D20" s="10" t="n">
        <v>0</v>
      </c>
      <c r="E20" s="10" t="n">
        <v>0</v>
      </c>
      <c r="F20" s="10">
        <f>IF(AND(D20=0,E20=0),"",D20-E20)</f>
        <v/>
      </c>
      <c r="G20" s="12">
        <f>IF(AND(D20=0,E20=0),"",IF(E20&gt;D20,"Över","OK"))</f>
        <v/>
      </c>
    </row>
    <row r="21">
      <c r="A21" s="13" t="n"/>
      <c r="B21" s="20" t="n"/>
      <c r="C21" s="20" t="n"/>
      <c r="D21" s="10" t="n"/>
      <c r="E21" s="10" t="n"/>
      <c r="F21" s="10">
        <f>IF(AND(D21=0,E21=0),"",D21-E21)</f>
        <v/>
      </c>
      <c r="G21" s="12">
        <f>IF(AND(D21=0,E21=0),"",IF(E21&gt;D21,"Över","OK"))</f>
        <v/>
      </c>
    </row>
    <row r="22">
      <c r="A22" s="13" t="n"/>
      <c r="B22" s="20" t="n"/>
      <c r="C22" s="20" t="n"/>
      <c r="D22" s="10" t="n"/>
      <c r="E22" s="10" t="n"/>
      <c r="F22" s="10">
        <f>IF(AND(D22=0,E22=0),"",D22-E22)</f>
        <v/>
      </c>
      <c r="G22" s="12">
        <f>IF(AND(D22=0,E22=0),"",IF(E22&gt;D22,"Över","OK"))</f>
        <v/>
      </c>
    </row>
    <row r="23">
      <c r="A23" s="13" t="n"/>
      <c r="B23" s="20" t="n"/>
      <c r="C23" s="20" t="n"/>
      <c r="D23" s="10" t="n"/>
      <c r="E23" s="10" t="n"/>
      <c r="F23" s="10">
        <f>IF(AND(D23=0,E23=0),"",D23-E23)</f>
        <v/>
      </c>
      <c r="G23" s="12">
        <f>IF(AND(D23=0,E23=0),"",IF(E23&gt;D23,"Över","OK"))</f>
        <v/>
      </c>
    </row>
    <row r="24">
      <c r="A24" s="13" t="n"/>
      <c r="B24" s="20" t="n"/>
      <c r="C24" s="20" t="n"/>
      <c r="D24" s="10" t="n"/>
      <c r="E24" s="10" t="n"/>
      <c r="F24" s="10">
        <f>IF(AND(D24=0,E24=0),"",D24-E24)</f>
        <v/>
      </c>
      <c r="G24" s="12">
        <f>IF(AND(D24=0,E24=0),"",IF(E24&gt;D24,"Över","OK"))</f>
        <v/>
      </c>
    </row>
    <row r="25">
      <c r="A25" s="13" t="n"/>
      <c r="B25" s="20" t="n"/>
      <c r="C25" s="20" t="n"/>
      <c r="D25" s="10" t="n"/>
      <c r="E25" s="10" t="n"/>
      <c r="F25" s="10">
        <f>IF(AND(D25=0,E25=0),"",D25-E25)</f>
        <v/>
      </c>
      <c r="G25" s="12">
        <f>IF(AND(D25=0,E25=0),"",IF(E25&gt;D25,"Över","OK"))</f>
        <v/>
      </c>
    </row>
    <row r="26">
      <c r="A26" s="13" t="n"/>
      <c r="B26" s="20" t="n"/>
      <c r="C26" s="20" t="n"/>
      <c r="D26" s="10" t="n"/>
      <c r="E26" s="10" t="n"/>
      <c r="F26" s="10">
        <f>IF(AND(D26=0,E26=0),"",D26-E26)</f>
        <v/>
      </c>
      <c r="G26" s="12">
        <f>IF(AND(D26=0,E26=0),"",IF(E26&gt;D26,"Över","OK"))</f>
        <v/>
      </c>
    </row>
    <row r="27">
      <c r="A27" s="13" t="n"/>
      <c r="B27" s="20" t="n"/>
      <c r="C27" s="20" t="n"/>
      <c r="D27" s="10" t="n"/>
      <c r="E27" s="10" t="n"/>
      <c r="F27" s="10">
        <f>IF(AND(D27=0,E27=0),"",D27-E27)</f>
        <v/>
      </c>
      <c r="G27" s="12">
        <f>IF(AND(D27=0,E27=0),"",IF(E27&gt;D27,"Över","OK"))</f>
        <v/>
      </c>
    </row>
    <row r="28">
      <c r="A28" s="13" t="n"/>
      <c r="B28" s="20" t="n"/>
      <c r="C28" s="20" t="n"/>
      <c r="D28" s="10" t="n"/>
      <c r="E28" s="10" t="n"/>
      <c r="F28" s="10">
        <f>IF(AND(D28=0,E28=0),"",D28-E28)</f>
        <v/>
      </c>
      <c r="G28" s="12">
        <f>IF(AND(D28=0,E28=0),"",IF(E28&gt;D28,"Över","OK"))</f>
        <v/>
      </c>
    </row>
    <row r="29">
      <c r="A29" s="13" t="n"/>
      <c r="B29" s="20" t="n"/>
      <c r="C29" s="20" t="n"/>
      <c r="D29" s="10" t="n"/>
      <c r="E29" s="10" t="n"/>
      <c r="F29" s="10">
        <f>IF(AND(D29=0,E29=0),"",D29-E29)</f>
        <v/>
      </c>
      <c r="G29" s="12">
        <f>IF(AND(D29=0,E29=0),"",IF(E29&gt;D29,"Över","OK"))</f>
        <v/>
      </c>
    </row>
    <row r="30">
      <c r="A30" s="13" t="n"/>
      <c r="B30" s="20" t="n"/>
      <c r="C30" s="20" t="n"/>
      <c r="D30" s="10" t="n"/>
      <c r="E30" s="10" t="n"/>
      <c r="F30" s="10">
        <f>IF(AND(D30=0,E30=0),"",D30-E30)</f>
        <v/>
      </c>
      <c r="G30" s="12">
        <f>IF(AND(D30=0,E30=0),"",IF(E30&gt;D30,"Över","OK"))</f>
        <v/>
      </c>
    </row>
    <row r="31">
      <c r="A31" s="13" t="n"/>
      <c r="B31" s="20" t="n"/>
      <c r="C31" s="20" t="n"/>
      <c r="D31" s="10" t="n"/>
      <c r="E31" s="10" t="n"/>
      <c r="F31" s="10">
        <f>IF(AND(D31=0,E31=0),"",D31-E31)</f>
        <v/>
      </c>
      <c r="G31" s="12">
        <f>IF(AND(D31=0,E31=0),"",IF(E31&gt;D31,"Över","OK"))</f>
        <v/>
      </c>
    </row>
    <row r="32">
      <c r="A32" s="13" t="n"/>
      <c r="B32" s="20" t="n"/>
      <c r="C32" s="20" t="n"/>
      <c r="D32" s="10" t="n"/>
      <c r="E32" s="10" t="n"/>
      <c r="F32" s="10">
        <f>IF(AND(D32=0,E32=0),"",D32-E32)</f>
        <v/>
      </c>
      <c r="G32" s="12">
        <f>IF(AND(D32=0,E32=0),"",IF(E32&gt;D32,"Över","OK"))</f>
        <v/>
      </c>
    </row>
    <row r="33">
      <c r="A33" s="13" t="n"/>
      <c r="B33" s="20" t="n"/>
      <c r="C33" s="20" t="n"/>
      <c r="D33" s="10" t="n"/>
      <c r="E33" s="10" t="n"/>
      <c r="F33" s="10">
        <f>IF(AND(D33=0,E33=0),"",D33-E33)</f>
        <v/>
      </c>
      <c r="G33" s="12">
        <f>IF(AND(D33=0,E33=0),"",IF(E33&gt;D33,"Över","OK"))</f>
        <v/>
      </c>
    </row>
    <row r="34">
      <c r="A34" s="13" t="n"/>
      <c r="B34" s="20" t="n"/>
      <c r="C34" s="20" t="n"/>
      <c r="D34" s="10" t="n"/>
      <c r="E34" s="10" t="n"/>
      <c r="F34" s="10">
        <f>IF(AND(D34=0,E34=0),"",D34-E34)</f>
        <v/>
      </c>
      <c r="G34" s="12">
        <f>IF(AND(D34=0,E34=0),"",IF(E34&gt;D34,"Över","OK"))</f>
        <v/>
      </c>
    </row>
    <row r="35">
      <c r="A35" s="13" t="n"/>
      <c r="B35" s="20" t="n"/>
      <c r="C35" s="20" t="n"/>
      <c r="D35" s="10" t="n"/>
      <c r="E35" s="10" t="n"/>
      <c r="F35" s="10">
        <f>IF(AND(D35=0,E35=0),"",D35-E35)</f>
        <v/>
      </c>
      <c r="G35" s="12">
        <f>IF(AND(D35=0,E35=0),"",IF(E35&gt;D35,"Över","OK"))</f>
        <v/>
      </c>
    </row>
    <row r="36">
      <c r="A36" s="13" t="n"/>
      <c r="B36" s="20" t="n"/>
      <c r="C36" s="20" t="n"/>
      <c r="D36" s="10" t="n"/>
      <c r="E36" s="10" t="n"/>
      <c r="F36" s="10">
        <f>IF(AND(D36=0,E36=0),"",D36-E36)</f>
        <v/>
      </c>
      <c r="G36" s="12">
        <f>IF(AND(D36=0,E36=0),"",IF(E36&gt;D36,"Över","OK"))</f>
        <v/>
      </c>
    </row>
    <row r="37">
      <c r="A37" s="13" t="n"/>
      <c r="B37" s="20" t="n"/>
      <c r="C37" s="20" t="n"/>
      <c r="D37" s="10" t="n"/>
      <c r="E37" s="10" t="n"/>
      <c r="F37" s="10">
        <f>IF(AND(D37=0,E37=0),"",D37-E37)</f>
        <v/>
      </c>
      <c r="G37" s="12">
        <f>IF(AND(D37=0,E37=0),"",IF(E37&gt;D37,"Över","OK"))</f>
        <v/>
      </c>
    </row>
    <row r="38">
      <c r="A38" s="13" t="n"/>
      <c r="B38" s="20" t="n"/>
      <c r="C38" s="20" t="n"/>
      <c r="D38" s="10" t="n"/>
      <c r="E38" s="10" t="n"/>
      <c r="F38" s="10">
        <f>IF(AND(D38=0,E38=0),"",D38-E38)</f>
        <v/>
      </c>
      <c r="G38" s="12">
        <f>IF(AND(D38=0,E38=0),"",IF(E38&gt;D38,"Över","OK"))</f>
        <v/>
      </c>
    </row>
    <row r="39">
      <c r="A39" s="13" t="n"/>
      <c r="B39" s="20" t="n"/>
      <c r="C39" s="20" t="n"/>
      <c r="D39" s="10" t="n"/>
      <c r="E39" s="10" t="n"/>
      <c r="F39" s="10">
        <f>IF(AND(D39=0,E39=0),"",D39-E39)</f>
        <v/>
      </c>
      <c r="G39" s="12">
        <f>IF(AND(D39=0,E39=0),"",IF(E39&gt;D39,"Över","OK"))</f>
        <v/>
      </c>
    </row>
    <row r="40">
      <c r="A40" s="13" t="n"/>
      <c r="B40" s="20" t="n"/>
      <c r="C40" s="20" t="n"/>
      <c r="D40" s="10" t="n"/>
      <c r="E40" s="10" t="n"/>
      <c r="F40" s="10">
        <f>IF(AND(D40=0,E40=0),"",D40-E40)</f>
        <v/>
      </c>
      <c r="G40" s="12">
        <f>IF(AND(D40=0,E40=0),"",IF(E40&gt;D40,"Över","OK"))</f>
        <v/>
      </c>
    </row>
    <row r="41">
      <c r="A41" s="13" t="n"/>
      <c r="B41" s="20" t="n"/>
      <c r="C41" s="20" t="n"/>
      <c r="D41" s="10" t="n"/>
      <c r="E41" s="10" t="n"/>
      <c r="F41" s="10">
        <f>IF(AND(D41=0,E41=0),"",D41-E41)</f>
        <v/>
      </c>
      <c r="G41" s="12">
        <f>IF(AND(D41=0,E41=0),"",IF(E41&gt;D41,"Över","OK"))</f>
        <v/>
      </c>
    </row>
    <row r="42">
      <c r="A42" s="13" t="n"/>
      <c r="B42" s="20" t="n"/>
      <c r="C42" s="20" t="n"/>
      <c r="D42" s="10" t="n"/>
      <c r="E42" s="10" t="n"/>
      <c r="F42" s="10">
        <f>IF(AND(D42=0,E42=0),"",D42-E42)</f>
        <v/>
      </c>
      <c r="G42" s="12">
        <f>IF(AND(D42=0,E42=0),"",IF(E42&gt;D42,"Över","OK"))</f>
        <v/>
      </c>
    </row>
    <row r="43">
      <c r="A43" s="13" t="n"/>
      <c r="B43" s="20" t="n"/>
      <c r="C43" s="20" t="n"/>
      <c r="D43" s="10" t="n"/>
      <c r="E43" s="10" t="n"/>
      <c r="F43" s="10">
        <f>IF(AND(D43=0,E43=0),"",D43-E43)</f>
        <v/>
      </c>
      <c r="G43" s="12">
        <f>IF(AND(D43=0,E43=0),"",IF(E43&gt;D43,"Över","OK"))</f>
        <v/>
      </c>
    </row>
    <row r="44">
      <c r="A44" s="13" t="n"/>
      <c r="B44" s="20" t="n"/>
      <c r="C44" s="20" t="n"/>
      <c r="D44" s="10" t="n"/>
      <c r="E44" s="10" t="n"/>
      <c r="F44" s="10">
        <f>IF(AND(D44=0,E44=0),"",D44-E44)</f>
        <v/>
      </c>
      <c r="G44" s="12">
        <f>IF(AND(D44=0,E44=0),"",IF(E44&gt;D44,"Över","OK"))</f>
        <v/>
      </c>
    </row>
    <row r="45">
      <c r="A45" s="13" t="n"/>
      <c r="B45" s="20" t="n"/>
      <c r="C45" s="20" t="n"/>
      <c r="D45" s="10" t="n"/>
      <c r="E45" s="10" t="n"/>
      <c r="F45" s="10">
        <f>IF(AND(D45=0,E45=0),"",D45-E45)</f>
        <v/>
      </c>
      <c r="G45" s="12">
        <f>IF(AND(D45=0,E45=0),"",IF(E45&gt;D45,"Över","OK"))</f>
        <v/>
      </c>
    </row>
    <row r="46">
      <c r="A46" s="13" t="n"/>
      <c r="B46" s="20" t="n"/>
      <c r="C46" s="20" t="n"/>
      <c r="D46" s="10" t="n"/>
      <c r="E46" s="10" t="n"/>
      <c r="F46" s="10">
        <f>IF(AND(D46=0,E46=0),"",D46-E46)</f>
        <v/>
      </c>
      <c r="G46" s="12">
        <f>IF(AND(D46=0,E46=0),"",IF(E46&gt;D46,"Över","OK"))</f>
        <v/>
      </c>
    </row>
    <row r="47">
      <c r="A47" s="13" t="n"/>
      <c r="B47" s="20" t="n"/>
      <c r="C47" s="20" t="n"/>
      <c r="D47" s="10" t="n"/>
      <c r="E47" s="10" t="n"/>
      <c r="F47" s="10">
        <f>IF(AND(D47=0,E47=0),"",D47-E47)</f>
        <v/>
      </c>
      <c r="G47" s="12">
        <f>IF(AND(D47=0,E47=0),"",IF(E47&gt;D47,"Över","OK"))</f>
        <v/>
      </c>
    </row>
    <row r="48">
      <c r="A48" s="13" t="n"/>
      <c r="B48" s="20" t="n"/>
      <c r="C48" s="20" t="n"/>
      <c r="D48" s="10" t="n"/>
      <c r="E48" s="10" t="n"/>
      <c r="F48" s="10">
        <f>IF(AND(D48=0,E48=0),"",D48-E48)</f>
        <v/>
      </c>
      <c r="G48" s="12">
        <f>IF(AND(D48=0,E48=0),"",IF(E48&gt;D48,"Över","OK"))</f>
        <v/>
      </c>
    </row>
    <row r="49">
      <c r="A49" s="13" t="n"/>
      <c r="B49" s="20" t="n"/>
      <c r="C49" s="20" t="n"/>
      <c r="D49" s="10" t="n"/>
      <c r="E49" s="10" t="n"/>
      <c r="F49" s="10">
        <f>IF(AND(D49=0,E49=0),"",D49-E49)</f>
        <v/>
      </c>
      <c r="G49" s="12">
        <f>IF(AND(D49=0,E49=0),"",IF(E49&gt;D49,"Över","OK"))</f>
        <v/>
      </c>
    </row>
    <row r="50">
      <c r="A50" s="13" t="n"/>
      <c r="B50" s="20" t="n"/>
      <c r="C50" s="20" t="n"/>
      <c r="D50" s="10" t="n"/>
      <c r="E50" s="10" t="n"/>
      <c r="F50" s="10">
        <f>IF(AND(D50=0,E50=0),"",D50-E50)</f>
        <v/>
      </c>
      <c r="G50" s="12">
        <f>IF(AND(D50=0,E50=0),"",IF(E50&gt;D50,"Över","OK"))</f>
        <v/>
      </c>
    </row>
    <row r="51">
      <c r="A51" s="13" t="n"/>
      <c r="B51" s="20" t="n"/>
      <c r="C51" s="20" t="n"/>
      <c r="D51" s="10" t="n"/>
      <c r="E51" s="10" t="n"/>
      <c r="F51" s="10">
        <f>IF(AND(D51=0,E51=0),"",D51-E51)</f>
        <v/>
      </c>
      <c r="G51" s="12">
        <f>IF(AND(D51=0,E51=0),"",IF(E51&gt;D51,"Över","OK"))</f>
        <v/>
      </c>
    </row>
    <row r="52">
      <c r="A52" s="13" t="n"/>
      <c r="B52" s="20" t="n"/>
      <c r="C52" s="20" t="n"/>
      <c r="D52" s="10" t="n"/>
      <c r="E52" s="10" t="n"/>
      <c r="F52" s="10">
        <f>IF(AND(D52=0,E52=0),"",D52-E52)</f>
        <v/>
      </c>
      <c r="G52" s="12">
        <f>IF(AND(D52=0,E52=0),"",IF(E52&gt;D52,"Över","OK"))</f>
        <v/>
      </c>
    </row>
    <row r="53">
      <c r="A53" s="13" t="n"/>
      <c r="B53" s="20" t="n"/>
      <c r="C53" s="20" t="n"/>
      <c r="D53" s="10" t="n"/>
      <c r="E53" s="10" t="n"/>
      <c r="F53" s="10">
        <f>IF(AND(D53=0,E53=0),"",D53-E53)</f>
        <v/>
      </c>
      <c r="G53" s="12">
        <f>IF(AND(D53=0,E53=0),"",IF(E53&gt;D53,"Över","OK"))</f>
        <v/>
      </c>
    </row>
    <row r="54">
      <c r="A54" s="13" t="n"/>
      <c r="B54" s="20" t="n"/>
      <c r="C54" s="20" t="n"/>
      <c r="D54" s="10" t="n"/>
      <c r="E54" s="10" t="n"/>
      <c r="F54" s="10">
        <f>IF(AND(D54=0,E54=0),"",D54-E54)</f>
        <v/>
      </c>
      <c r="G54" s="12">
        <f>IF(AND(D54=0,E54=0),"",IF(E54&gt;D54,"Över","OK"))</f>
        <v/>
      </c>
    </row>
    <row r="55">
      <c r="A55" s="13" t="n"/>
      <c r="B55" s="20" t="n"/>
      <c r="C55" s="20" t="n"/>
      <c r="D55" s="10" t="n"/>
      <c r="E55" s="10" t="n"/>
      <c r="F55" s="10">
        <f>IF(AND(D55=0,E55=0),"",D55-E55)</f>
        <v/>
      </c>
      <c r="G55" s="12">
        <f>IF(AND(D55=0,E55=0),"",IF(E55&gt;D55,"Över","OK"))</f>
        <v/>
      </c>
    </row>
    <row r="56">
      <c r="A56" s="13" t="n"/>
      <c r="B56" s="20" t="n"/>
      <c r="C56" s="20" t="n"/>
      <c r="D56" s="10" t="n"/>
      <c r="E56" s="10" t="n"/>
      <c r="F56" s="10">
        <f>IF(AND(D56=0,E56=0),"",D56-E56)</f>
        <v/>
      </c>
      <c r="G56" s="12">
        <f>IF(AND(D56=0,E56=0),"",IF(E56&gt;D56,"Över","OK"))</f>
        <v/>
      </c>
    </row>
    <row r="57">
      <c r="A57" s="13" t="n"/>
      <c r="B57" s="20" t="n"/>
      <c r="C57" s="20" t="n"/>
      <c r="D57" s="10" t="n"/>
      <c r="E57" s="10" t="n"/>
      <c r="F57" s="10">
        <f>IF(AND(D57=0,E57=0),"",D57-E57)</f>
        <v/>
      </c>
      <c r="G57" s="12">
        <f>IF(AND(D57=0,E57=0),"",IF(E57&gt;D57,"Över","OK"))</f>
        <v/>
      </c>
    </row>
    <row r="58">
      <c r="A58" s="13" t="n"/>
      <c r="B58" s="20" t="n"/>
      <c r="C58" s="20" t="n"/>
      <c r="D58" s="10" t="n"/>
      <c r="E58" s="10" t="n"/>
      <c r="F58" s="10">
        <f>IF(AND(D58=0,E58=0),"",D58-E58)</f>
        <v/>
      </c>
      <c r="G58" s="12">
        <f>IF(AND(D58=0,E58=0),"",IF(E58&gt;D58,"Över","OK"))</f>
        <v/>
      </c>
    </row>
    <row r="59">
      <c r="A59" s="13" t="n"/>
      <c r="B59" s="20" t="n"/>
      <c r="C59" s="20" t="n"/>
      <c r="D59" s="10" t="n"/>
      <c r="E59" s="10" t="n"/>
      <c r="F59" s="10">
        <f>IF(AND(D59=0,E59=0),"",D59-E59)</f>
        <v/>
      </c>
      <c r="G59" s="12">
        <f>IF(AND(D59=0,E59=0),"",IF(E59&gt;D59,"Över","OK"))</f>
        <v/>
      </c>
    </row>
    <row r="60">
      <c r="A60" s="13" t="n"/>
      <c r="B60" s="20" t="n"/>
      <c r="C60" s="20" t="n"/>
      <c r="D60" s="10" t="n"/>
      <c r="E60" s="10" t="n"/>
      <c r="F60" s="10">
        <f>IF(AND(D60=0,E60=0),"",D60-E60)</f>
        <v/>
      </c>
      <c r="G60" s="12">
        <f>IF(AND(D60=0,E60=0),"",IF(E60&gt;D60,"Över","OK"))</f>
        <v/>
      </c>
    </row>
    <row r="61">
      <c r="A61" s="13" t="n"/>
      <c r="B61" s="20" t="n"/>
      <c r="C61" s="20" t="n"/>
      <c r="D61" s="10" t="n"/>
      <c r="E61" s="10" t="n"/>
      <c r="F61" s="10">
        <f>IF(AND(D61=0,E61=0),"",D61-E61)</f>
        <v/>
      </c>
      <c r="G61" s="12">
        <f>IF(AND(D61=0,E61=0),"",IF(E61&gt;D61,"Över","OK"))</f>
        <v/>
      </c>
    </row>
    <row r="62">
      <c r="A62" s="17" t="inlineStr">
        <is>
          <t>TOTALT</t>
        </is>
      </c>
      <c r="B62" s="17" t="n"/>
      <c r="C62" s="17" t="n"/>
      <c r="D62" s="18">
        <f>SUM(D2:D61)</f>
        <v/>
      </c>
      <c r="E62" s="18">
        <f>SUM(E2:E61)</f>
        <v/>
      </c>
      <c r="F62" s="18">
        <f>SUM(D2:D61)-SUM(E2:E61)</f>
        <v/>
      </c>
      <c r="G62" s="17" t="n"/>
    </row>
  </sheetData>
  <conditionalFormatting sqref="F2:F6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2:G61">
    <cfRule type="expression" priority="3" dxfId="2">
      <formula>$G2="Över"</formula>
    </cfRule>
    <cfRule type="expression" priority="4" dxfId="3">
      <formula>$G2="OK"</formula>
    </cfRule>
  </conditionalFormatting>
  <dataValidations count="1">
    <dataValidation sqref="B2:B61" showDropDown="0" showInputMessage="0" showErrorMessage="1" allowBlank="1" errorTitle="Okänd kategori" error="Välj en kategori från listan på Inställningar." type="list">
      <formula1>=Kategorier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6" t="inlineStr">
        <is>
          <t>Mål</t>
        </is>
      </c>
      <c r="B1" s="16" t="inlineStr">
        <is>
          <t>Målbelopp (kr)</t>
        </is>
      </c>
      <c r="C1" s="16" t="inlineStr">
        <is>
          <t>Sparat hittills (kr)</t>
        </is>
      </c>
      <c r="D1" s="16" t="inlineStr">
        <is>
          <t>Månadsinsättning (kr)</t>
        </is>
      </c>
      <c r="E1" s="16" t="inlineStr">
        <is>
          <t>Återstår (kr)</t>
        </is>
      </c>
      <c r="F1" s="16" t="inlineStr">
        <is>
          <t>Månader kvar</t>
        </is>
      </c>
      <c r="G1" s="16" t="inlineStr">
        <is>
          <t>Måldatum</t>
        </is>
      </c>
      <c r="H1" s="16" t="inlineStr">
        <is>
          <t>Framsteg %</t>
        </is>
      </c>
    </row>
    <row r="2">
      <c r="A2" s="9" t="inlineStr">
        <is>
          <t>Buffert</t>
        </is>
      </c>
      <c r="B2" s="10" t="n">
        <v>60000</v>
      </c>
      <c r="C2" s="10" t="n">
        <v>34000</v>
      </c>
      <c r="D2" s="10" t="n">
        <v>0</v>
      </c>
      <c r="E2" s="10">
        <f>IF(B2="","",MAX(0,B2-C2))</f>
        <v/>
      </c>
      <c r="F2" s="12">
        <f>IFERROR(IF(D2&gt;0,CEILING(E2/D2,1),""),"")</f>
        <v/>
      </c>
      <c r="G2" s="21">
        <f>IFERROR(EDATE(TODAY(),F2),"")</f>
        <v/>
      </c>
      <c r="H2" s="11">
        <f>IFERROR(MIN(1,C2/B2),0)</f>
        <v/>
      </c>
    </row>
    <row r="3">
      <c r="A3" s="9" t="inlineStr">
        <is>
          <t>Snöskoter</t>
        </is>
      </c>
      <c r="B3" s="10" t="n">
        <v>40000</v>
      </c>
      <c r="C3" s="10" t="n">
        <v>0</v>
      </c>
      <c r="D3" s="10" t="n">
        <v>0</v>
      </c>
      <c r="E3" s="10">
        <f>IF(B3="","",MAX(0,B3-C3))</f>
        <v/>
      </c>
      <c r="F3" s="12">
        <f>IFERROR(IF(D3&gt;0,CEILING(E3/D3,1),""),"")</f>
        <v/>
      </c>
      <c r="G3" s="21">
        <f>IFERROR(EDATE(TODAY(),F3),"")</f>
        <v/>
      </c>
      <c r="H3" s="11">
        <f>IFERROR(MIN(1,C3/B3),0)</f>
        <v/>
      </c>
    </row>
    <row r="4">
      <c r="A4" s="20" t="n"/>
      <c r="B4" s="10" t="n"/>
      <c r="C4" s="10" t="n"/>
      <c r="D4" s="10" t="n"/>
      <c r="E4" s="10">
        <f>IF(B4="","",MAX(0,B4-C4))</f>
        <v/>
      </c>
      <c r="F4" s="12">
        <f>IFERROR(IF(D4&gt;0,CEILING(E4/D4,1),""),"")</f>
        <v/>
      </c>
      <c r="G4" s="21">
        <f>IFERROR(EDATE(TODAY(),F4),"")</f>
        <v/>
      </c>
      <c r="H4" s="11">
        <f>IFERROR(MIN(1,C4/B4),0)</f>
        <v/>
      </c>
    </row>
    <row r="5">
      <c r="A5" s="20" t="n"/>
      <c r="B5" s="10" t="n"/>
      <c r="C5" s="10" t="n"/>
      <c r="D5" s="10" t="n"/>
      <c r="E5" s="10">
        <f>IF(B5="","",MAX(0,B5-C5))</f>
        <v/>
      </c>
      <c r="F5" s="12">
        <f>IFERROR(IF(D5&gt;0,CEILING(E5/D5,1),""),"")</f>
        <v/>
      </c>
      <c r="G5" s="21">
        <f>IFERROR(EDATE(TODAY(),F5),"")</f>
        <v/>
      </c>
      <c r="H5" s="11">
        <f>IFERROR(MIN(1,C5/B5),0)</f>
        <v/>
      </c>
    </row>
    <row r="6">
      <c r="A6" s="20" t="n"/>
      <c r="B6" s="10" t="n"/>
      <c r="C6" s="10" t="n"/>
      <c r="D6" s="10" t="n"/>
      <c r="E6" s="10">
        <f>IF(B6="","",MAX(0,B6-C6))</f>
        <v/>
      </c>
      <c r="F6" s="12">
        <f>IFERROR(IF(D6&gt;0,CEILING(E6/D6,1),""),"")</f>
        <v/>
      </c>
      <c r="G6" s="21">
        <f>IFERROR(EDATE(TODAY(),F6),"")</f>
        <v/>
      </c>
      <c r="H6" s="11">
        <f>IFERROR(MIN(1,C6/B6),0)</f>
        <v/>
      </c>
    </row>
    <row r="7">
      <c r="A7" s="20" t="n"/>
      <c r="B7" s="10" t="n"/>
      <c r="C7" s="10" t="n"/>
      <c r="D7" s="10" t="n"/>
      <c r="E7" s="10">
        <f>IF(B7="","",MAX(0,B7-C7))</f>
        <v/>
      </c>
      <c r="F7" s="12">
        <f>IFERROR(IF(D7&gt;0,CEILING(E7/D7,1),""),"")</f>
        <v/>
      </c>
      <c r="G7" s="21">
        <f>IFERROR(EDATE(TODAY(),F7),"")</f>
        <v/>
      </c>
      <c r="H7" s="11">
        <f>IFERROR(MIN(1,C7/B7),0)</f>
        <v/>
      </c>
    </row>
    <row r="8">
      <c r="A8" s="20" t="n"/>
      <c r="B8" s="10" t="n"/>
      <c r="C8" s="10" t="n"/>
      <c r="D8" s="10" t="n"/>
      <c r="E8" s="10">
        <f>IF(B8="","",MAX(0,B8-C8))</f>
        <v/>
      </c>
      <c r="F8" s="12">
        <f>IFERROR(IF(D8&gt;0,CEILING(E8/D8,1),""),"")</f>
        <v/>
      </c>
      <c r="G8" s="21">
        <f>IFERROR(EDATE(TODAY(),F8),"")</f>
        <v/>
      </c>
      <c r="H8" s="11">
        <f>IFERROR(MIN(1,C8/B8),0)</f>
        <v/>
      </c>
    </row>
    <row r="9">
      <c r="A9" s="20" t="n"/>
      <c r="B9" s="10" t="n"/>
      <c r="C9" s="10" t="n"/>
      <c r="D9" s="10" t="n"/>
      <c r="E9" s="10">
        <f>IF(B9="","",MAX(0,B9-C9))</f>
        <v/>
      </c>
      <c r="F9" s="12">
        <f>IFERROR(IF(D9&gt;0,CEILING(E9/D9,1),""),"")</f>
        <v/>
      </c>
      <c r="G9" s="21">
        <f>IFERROR(EDATE(TODAY(),F9),"")</f>
        <v/>
      </c>
      <c r="H9" s="11">
        <f>IFERROR(MIN(1,C9/B9),0)</f>
        <v/>
      </c>
    </row>
  </sheetData>
  <conditionalFormatting sqref="H2:H9">
    <cfRule type="dataBar" priority="1">
      <dataBar showValue="1"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 ht="22" customHeight="1">
      <c r="A1" s="16" t="inlineStr">
        <is>
          <t>Konto</t>
        </is>
      </c>
      <c r="B1" s="16" t="inlineStr">
        <is>
          <t>Saldo (kr)</t>
        </is>
      </c>
      <c r="C1" s="16" t="inlineStr">
        <is>
          <t>Anteckning</t>
        </is>
      </c>
    </row>
    <row r="2">
      <c r="A2" s="9" t="inlineStr">
        <is>
          <t>Sparkonto</t>
        </is>
      </c>
      <c r="B2" s="10" t="n">
        <v>34000</v>
      </c>
      <c r="C2" s="9" t="inlineStr">
        <is>
          <t>Behöver tas pengar härifrån denna månad</t>
        </is>
      </c>
    </row>
    <row r="3">
      <c r="A3" s="9" t="inlineStr">
        <is>
          <t>Allkonto</t>
        </is>
      </c>
      <c r="B3" s="10" t="n">
        <v>2600</v>
      </c>
      <c r="C3" s="9" t="inlineStr"/>
    </row>
    <row r="4">
      <c r="A4" s="17" t="inlineStr">
        <is>
          <t>TOTALT</t>
        </is>
      </c>
      <c r="B4" s="18">
        <f>SUM(B2:B3)</f>
        <v/>
      </c>
      <c r="C4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2026-04-27T12:07:30Z</dcterms:created>
  <dcterms:modified xsi:type="dcterms:W3CDTF">2026-04-27T12:07:30Z</dcterms:modified>
</cp:coreProperties>
</file>